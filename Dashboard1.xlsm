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yogesh\E\SITH EXCEL\"/>
    </mc:Choice>
  </mc:AlternateContent>
  <xr:revisionPtr revIDLastSave="0" documentId="13_ncr:1_{87FCC8B6-5C06-4716-A1F3-DA61ACCD8FF9}" xr6:coauthVersionLast="36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Data" sheetId="1" r:id="rId1"/>
    <sheet name="Calculation" sheetId="2" r:id="rId2"/>
    <sheet name="DASHBOARD" sheetId="3" r:id="rId3"/>
  </sheets>
  <definedNames>
    <definedName name="ISTPro">Data!$H$3:$H$8</definedName>
    <definedName name="ISTyear">Data!$G$3:$G$13</definedName>
    <definedName name="lstRegions">Data!$I$3:$I$6</definedName>
    <definedName name="plpro">DASHBOARD!$G$17:$L$17</definedName>
    <definedName name="plregion">DASHBOARD!$B$16:$B$20</definedName>
    <definedName name="plyear">DASHBOARD!$B$6:$B$12</definedName>
    <definedName name="valpro">Calculation!$D$3</definedName>
    <definedName name="valprostatus">Calculation!$E$3</definedName>
    <definedName name="valregion">Calculation!$D$4</definedName>
    <definedName name="valyear">Calculation!$D$2</definedName>
    <definedName name="vblhelpstatus">Calculation!$I$19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  <c r="B13" i="2" l="1"/>
  <c r="B19" i="2"/>
  <c r="C9" i="2"/>
  <c r="D8" i="2"/>
  <c r="O11" i="2"/>
  <c r="I17" i="2"/>
  <c r="B19" i="3"/>
  <c r="B20" i="3"/>
  <c r="H17" i="3"/>
  <c r="I17" i="3"/>
  <c r="J17" i="3"/>
  <c r="K17" i="3"/>
  <c r="L17" i="3"/>
  <c r="G17" i="3"/>
  <c r="C4" i="2" l="1"/>
  <c r="B7" i="3"/>
  <c r="B20" i="2"/>
  <c r="B8" i="3" s="1"/>
  <c r="B21" i="2"/>
  <c r="B9" i="3" s="1"/>
  <c r="B22" i="2"/>
  <c r="B10" i="3" s="1"/>
  <c r="B23" i="2"/>
  <c r="B11" i="3" s="1"/>
  <c r="B24" i="2"/>
  <c r="B12" i="3" s="1"/>
  <c r="B18" i="2"/>
  <c r="B6" i="3" s="1"/>
  <c r="B1" i="3" s="1"/>
  <c r="B18" i="3"/>
  <c r="B17" i="3"/>
  <c r="I20" i="2"/>
  <c r="N8" i="2"/>
  <c r="J8" i="2"/>
  <c r="K8" i="2"/>
  <c r="C8" i="2"/>
  <c r="I8" i="2"/>
  <c r="B10" i="2"/>
  <c r="I10" i="2" s="1"/>
  <c r="B11" i="2"/>
  <c r="I11" i="2" s="1"/>
  <c r="B12" i="2"/>
  <c r="I12" i="2" s="1"/>
  <c r="I13" i="2"/>
  <c r="O13" i="2" s="1"/>
  <c r="B14" i="2"/>
  <c r="I14" i="2" s="1"/>
  <c r="B9" i="2"/>
  <c r="I9" i="2" s="1"/>
  <c r="C3" i="2"/>
  <c r="D9" i="2" l="1"/>
  <c r="K9" i="2" s="1"/>
  <c r="J9" i="2"/>
  <c r="E9" i="2"/>
  <c r="L9" i="2" s="1"/>
  <c r="F9" i="2"/>
  <c r="D23" i="2"/>
  <c r="F19" i="2"/>
  <c r="F23" i="2"/>
  <c r="E19" i="2"/>
  <c r="E23" i="2"/>
  <c r="F22" i="2"/>
  <c r="F20" i="2"/>
  <c r="F24" i="2"/>
  <c r="E20" i="2"/>
  <c r="E24" i="2"/>
  <c r="E22" i="2"/>
  <c r="F21" i="2"/>
  <c r="F18" i="2"/>
  <c r="E21" i="2"/>
  <c r="C18" i="2"/>
  <c r="E18" i="2"/>
  <c r="M10" i="2"/>
  <c r="M11" i="2"/>
  <c r="M12" i="2"/>
  <c r="M13" i="2"/>
  <c r="M14" i="2"/>
  <c r="M9" i="2"/>
  <c r="F10" i="2"/>
  <c r="F14" i="2"/>
  <c r="E13" i="2"/>
  <c r="L13" i="2" s="1"/>
  <c r="F11" i="2"/>
  <c r="E10" i="2"/>
  <c r="E14" i="2"/>
  <c r="E12" i="2"/>
  <c r="L12" i="2" s="1"/>
  <c r="F12" i="2"/>
  <c r="E11" i="2"/>
  <c r="L11" i="2" s="1"/>
  <c r="F13" i="2"/>
  <c r="D10" i="2"/>
  <c r="K10" i="2" s="1"/>
  <c r="C10" i="2"/>
  <c r="J10" i="2" s="1"/>
  <c r="C14" i="2"/>
  <c r="J14" i="2" s="1"/>
  <c r="D13" i="2"/>
  <c r="K13" i="2" s="1"/>
  <c r="D12" i="2"/>
  <c r="K12" i="2" s="1"/>
  <c r="C11" i="2"/>
  <c r="J11" i="2" s="1"/>
  <c r="C24" i="2"/>
  <c r="C19" i="2"/>
  <c r="D21" i="2"/>
  <c r="C23" i="2"/>
  <c r="D20" i="2"/>
  <c r="C21" i="2"/>
  <c r="D18" i="2"/>
  <c r="D24" i="2"/>
  <c r="D19" i="2"/>
  <c r="D22" i="2"/>
  <c r="C20" i="2"/>
  <c r="C22" i="2"/>
  <c r="C13" i="2"/>
  <c r="D11" i="2"/>
  <c r="K11" i="2" s="1"/>
  <c r="C12" i="2"/>
  <c r="J12" i="2" s="1"/>
  <c r="O12" i="2" s="1"/>
  <c r="D14" i="2"/>
  <c r="K14" i="2" s="1"/>
  <c r="J13" i="2" l="1"/>
  <c r="G14" i="2"/>
  <c r="N14" i="2" s="1"/>
  <c r="O14" i="2" s="1"/>
  <c r="G10" i="2"/>
  <c r="L10" i="2"/>
  <c r="G9" i="2"/>
  <c r="N9" i="2" s="1"/>
  <c r="O9" i="2" s="1"/>
  <c r="L14" i="2"/>
  <c r="G23" i="2"/>
  <c r="G20" i="2"/>
  <c r="G21" i="2"/>
  <c r="G22" i="2"/>
  <c r="G18" i="2"/>
  <c r="G19" i="2"/>
  <c r="G24" i="2"/>
  <c r="G12" i="2"/>
  <c r="G13" i="2"/>
  <c r="N13" i="2" s="1"/>
  <c r="G11" i="2"/>
  <c r="N11" i="2" s="1"/>
  <c r="N10" i="2"/>
  <c r="O10" i="2" s="1"/>
  <c r="N12" i="2"/>
</calcChain>
</file>

<file path=xl/sharedStrings.xml><?xml version="1.0" encoding="utf-8"?>
<sst xmlns="http://schemas.openxmlformats.org/spreadsheetml/2006/main" count="306" uniqueCount="27">
  <si>
    <t>Year</t>
  </si>
  <si>
    <t>Product</t>
  </si>
  <si>
    <t>Region</t>
  </si>
  <si>
    <t>Sales ($)</t>
  </si>
  <si>
    <t>Biscuits</t>
  </si>
  <si>
    <t>North</t>
  </si>
  <si>
    <t>South</t>
  </si>
  <si>
    <t>Chocolates</t>
  </si>
  <si>
    <t>Chocochips</t>
  </si>
  <si>
    <t>Cookies</t>
  </si>
  <si>
    <t>Nutri Bars</t>
  </si>
  <si>
    <t>Jelly Beans</t>
  </si>
  <si>
    <t>Years</t>
  </si>
  <si>
    <t>Products</t>
  </si>
  <si>
    <t>Regions</t>
  </si>
  <si>
    <t>Selected year</t>
  </si>
  <si>
    <t>Selected Product</t>
  </si>
  <si>
    <t>Selected Region</t>
  </si>
  <si>
    <t>Product-wise Sales</t>
  </si>
  <si>
    <t>All</t>
  </si>
  <si>
    <t>Yearly Sales Break-up</t>
  </si>
  <si>
    <t>Highlighted</t>
  </si>
  <si>
    <t>Title</t>
  </si>
  <si>
    <t>Pick an year</t>
  </si>
  <si>
    <t>All Region</t>
  </si>
  <si>
    <t>East</t>
  </si>
  <si>
    <t>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</si>
</sst>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1"/>
      <scheme val="major"/>
    </font>
    <font>
      <sz val="26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165" fontId="0" fillId="0" borderId="1" xfId="1" applyNumberFormat="1" applyFont="1" applyBorder="1" applyAlignment="1">
      <alignment horizontal="center" vertical="center"/>
    </xf>
    <xf numFmtId="0" fontId="0" fillId="3" borderId="0" xfId="0" applyFill="1"/>
    <xf numFmtId="0" fontId="3" fillId="0" borderId="0" xfId="0" applyFont="1" applyAlignment="1">
      <alignment vertical="center"/>
    </xf>
    <xf numFmtId="0" fontId="0" fillId="4" borderId="0" xfId="0" applyFill="1"/>
    <xf numFmtId="0" fontId="0" fillId="4" borderId="1" xfId="0" applyFill="1" applyBorder="1"/>
    <xf numFmtId="0" fontId="0" fillId="4" borderId="1" xfId="0" applyFont="1" applyFill="1" applyBorder="1" applyAlignment="1">
      <alignment horizontal="left"/>
    </xf>
    <xf numFmtId="165" fontId="0" fillId="0" borderId="1" xfId="1" applyNumberFormat="1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/>
    <xf numFmtId="0" fontId="0" fillId="0" borderId="3" xfId="0" applyBorder="1"/>
    <xf numFmtId="0" fontId="2" fillId="0" borderId="1" xfId="0" applyFont="1" applyFill="1" applyBorder="1" applyAlignment="1">
      <alignment horizontal="left"/>
    </xf>
    <xf numFmtId="0" fontId="2" fillId="0" borderId="1" xfId="0" applyFont="1" applyBorder="1"/>
    <xf numFmtId="0" fontId="0" fillId="0" borderId="1" xfId="0" applyNumberFormat="1" applyBorder="1" applyAlignment="1">
      <alignment horizontal="center"/>
    </xf>
    <xf numFmtId="0" fontId="2" fillId="2" borderId="1" xfId="0" applyFont="1" applyFill="1" applyBorder="1" applyAlignment="1">
      <alignment horizontal="left" indent="1"/>
    </xf>
    <xf numFmtId="0" fontId="0" fillId="0" borderId="1" xfId="0" applyBorder="1" applyAlignment="1">
      <alignment horizontal="left" indent="1"/>
    </xf>
    <xf numFmtId="165" fontId="0" fillId="0" borderId="1" xfId="0" applyNumberFormat="1" applyBorder="1" applyAlignment="1">
      <alignment horizontal="left"/>
    </xf>
    <xf numFmtId="0" fontId="4" fillId="3" borderId="0" xfId="0" applyFont="1" applyFill="1" applyAlignment="1">
      <alignment horizontal="left" vertical="center"/>
    </xf>
  </cellXfs>
  <cellStyles count="2">
    <cellStyle name="Currency" xfId="1" builtinId="4"/>
    <cellStyle name="Normal" xfId="0" builtinId="0"/>
  </cellStyles>
  <dxfs count="4">
    <dxf>
      <font>
        <b/>
        <i val="0"/>
      </font>
    </dxf>
    <dxf>
      <font>
        <b/>
        <i val="0"/>
      </font>
    </dxf>
    <dxf>
      <font>
        <b/>
        <i val="0"/>
      </font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Calculation!$I$17</c:f>
          <c:strCache>
            <c:ptCount val="1"/>
            <c:pt idx="0">
              <c:v>Sales in North By Prodcut -2015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Calculation!$J$8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Calculation!$B$9:$B$14</c:f>
              <c:strCache>
                <c:ptCount val="6"/>
                <c:pt idx="0">
                  <c:v>Biscuits</c:v>
                </c:pt>
                <c:pt idx="1">
                  <c:v>Chocolates</c:v>
                </c:pt>
                <c:pt idx="2">
                  <c:v>Chocochips</c:v>
                </c:pt>
                <c:pt idx="3">
                  <c:v>Cookies</c:v>
                </c:pt>
                <c:pt idx="4">
                  <c:v>Nutri Bars</c:v>
                </c:pt>
                <c:pt idx="5">
                  <c:v>Jelly Beans</c:v>
                </c:pt>
              </c:strCache>
            </c:strRef>
          </c:cat>
          <c:val>
            <c:numRef>
              <c:f>Calculation!$J$9:$J$14</c:f>
              <c:numCache>
                <c:formatCode>"$"#,##0.00</c:formatCode>
                <c:ptCount val="6"/>
                <c:pt idx="0">
                  <c:v>1140</c:v>
                </c:pt>
                <c:pt idx="1">
                  <c:v>950</c:v>
                </c:pt>
                <c:pt idx="2">
                  <c:v>1120</c:v>
                </c:pt>
                <c:pt idx="3">
                  <c:v>1040</c:v>
                </c:pt>
                <c:pt idx="4">
                  <c:v>930</c:v>
                </c:pt>
                <c:pt idx="5">
                  <c:v>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9-45D1-973B-0B68A6ED0FF0}"/>
            </c:ext>
          </c:extLst>
        </c:ser>
        <c:ser>
          <c:idx val="1"/>
          <c:order val="1"/>
          <c:tx>
            <c:strRef>
              <c:f>Calculation!$K$8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Calculation!$B$9:$B$14</c:f>
              <c:strCache>
                <c:ptCount val="6"/>
                <c:pt idx="0">
                  <c:v>Biscuits</c:v>
                </c:pt>
                <c:pt idx="1">
                  <c:v>Chocolates</c:v>
                </c:pt>
                <c:pt idx="2">
                  <c:v>Chocochips</c:v>
                </c:pt>
                <c:pt idx="3">
                  <c:v>Cookies</c:v>
                </c:pt>
                <c:pt idx="4">
                  <c:v>Nutri Bars</c:v>
                </c:pt>
                <c:pt idx="5">
                  <c:v>Jelly Beans</c:v>
                </c:pt>
              </c:strCache>
            </c:strRef>
          </c:cat>
          <c:val>
            <c:numRef>
              <c:f>Calculation!$K$9:$K$14</c:f>
              <c:numCache>
                <c:formatCode>"$"#,##0.00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E9-45D1-973B-0B68A6ED0FF0}"/>
            </c:ext>
          </c:extLst>
        </c:ser>
        <c:ser>
          <c:idx val="2"/>
          <c:order val="2"/>
          <c:tx>
            <c:strRef>
              <c:f>Calculation!$N$8</c:f>
              <c:strCache>
                <c:ptCount val="1"/>
                <c:pt idx="0">
                  <c:v>All Region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Calculation!$B$9:$B$14</c:f>
              <c:strCache>
                <c:ptCount val="6"/>
                <c:pt idx="0">
                  <c:v>Biscuits</c:v>
                </c:pt>
                <c:pt idx="1">
                  <c:v>Chocolates</c:v>
                </c:pt>
                <c:pt idx="2">
                  <c:v>Chocochips</c:v>
                </c:pt>
                <c:pt idx="3">
                  <c:v>Cookies</c:v>
                </c:pt>
                <c:pt idx="4">
                  <c:v>Nutri Bars</c:v>
                </c:pt>
                <c:pt idx="5">
                  <c:v>Jelly Beans</c:v>
                </c:pt>
              </c:strCache>
            </c:strRef>
          </c:cat>
          <c:val>
            <c:numRef>
              <c:f>Calculation!$N$9:$N$14</c:f>
              <c:numCache>
                <c:formatCode>"$"#,##0.00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E9-45D1-973B-0B68A6ED0FF0}"/>
            </c:ext>
          </c:extLst>
        </c:ser>
        <c:ser>
          <c:idx val="3"/>
          <c:order val="3"/>
          <c:tx>
            <c:strRef>
              <c:f>Calculation!$O$8</c:f>
              <c:strCache>
                <c:ptCount val="1"/>
                <c:pt idx="0">
                  <c:v>Highlighted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Calculation!$B$9:$B$14</c:f>
              <c:strCache>
                <c:ptCount val="6"/>
                <c:pt idx="0">
                  <c:v>Biscuits</c:v>
                </c:pt>
                <c:pt idx="1">
                  <c:v>Chocolates</c:v>
                </c:pt>
                <c:pt idx="2">
                  <c:v>Chocochips</c:v>
                </c:pt>
                <c:pt idx="3">
                  <c:v>Cookies</c:v>
                </c:pt>
                <c:pt idx="4">
                  <c:v>Nutri Bars</c:v>
                </c:pt>
                <c:pt idx="5">
                  <c:v>Jelly Beans</c:v>
                </c:pt>
              </c:strCache>
            </c:strRef>
          </c:cat>
          <c:val>
            <c:numRef>
              <c:f>Calculation!$O$9:$O$14</c:f>
              <c:numCache>
                <c:formatCode>General</c:formatCode>
                <c:ptCount val="6"/>
                <c:pt idx="0">
                  <c:v>#N/A</c:v>
                </c:pt>
                <c:pt idx="1">
                  <c:v>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CE9-45D1-973B-0B68A6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3454312"/>
        <c:axId val="133455096"/>
      </c:barChart>
      <c:catAx>
        <c:axId val="1334543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33455096"/>
        <c:crosses val="autoZero"/>
        <c:auto val="1"/>
        <c:lblAlgn val="ctr"/>
        <c:lblOffset val="100"/>
        <c:noMultiLvlLbl val="0"/>
      </c:catAx>
      <c:valAx>
        <c:axId val="133455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45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2</xdr:row>
      <xdr:rowOff>171450</xdr:rowOff>
    </xdr:from>
    <xdr:to>
      <xdr:col>12</xdr:col>
      <xdr:colOff>10287</xdr:colOff>
      <xdr:row>15</xdr:row>
      <xdr:rowOff>169926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674F90-BC01-4D96-AB54-32F639BB37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ales" displayName="tblSales" ref="A1:D133" totalsRowShown="0">
  <autoFilter ref="A1:D133" xr:uid="{00000000-0009-0000-0100-000001000000}"/>
  <tableColumns count="4">
    <tableColumn id="1" xr3:uid="{00000000-0010-0000-0000-000001000000}" name="Year" dataDxfId="3"/>
    <tableColumn id="2" xr3:uid="{00000000-0010-0000-0000-000002000000}" name="Product"/>
    <tableColumn id="3" xr3:uid="{00000000-0010-0000-0000-000003000000}" name="Region"/>
    <tableColumn id="4" xr3:uid="{00000000-0010-0000-0000-000004000000}" name="Sales ($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33"/>
  <sheetViews>
    <sheetView workbookViewId="0">
      <selection activeCell="H4" sqref="H4"/>
    </sheetView>
  </sheetViews>
  <sheetFormatPr defaultRowHeight="14.4" x14ac:dyDescent="0.3"/>
  <cols>
    <col min="1" max="1" width="9.5546875" bestFit="1" customWidth="1"/>
    <col min="2" max="2" width="11" bestFit="1" customWidth="1"/>
    <col min="3" max="3" width="9.44140625" bestFit="1" customWidth="1"/>
    <col min="4" max="4" width="10.6640625" bestFit="1" customWidth="1"/>
    <col min="8" max="8" width="12.33203125" bestFit="1" customWidth="1"/>
    <col min="9" max="9" width="9.33203125" bestFit="1" customWidth="1"/>
  </cols>
  <sheetData>
    <row r="1" spans="1:9" x14ac:dyDescent="0.3">
      <c r="A1" s="1" t="s">
        <v>0</v>
      </c>
      <c r="B1" t="s">
        <v>1</v>
      </c>
      <c r="C1" t="s">
        <v>2</v>
      </c>
      <c r="D1" t="s">
        <v>3</v>
      </c>
    </row>
    <row r="2" spans="1:9" x14ac:dyDescent="0.3">
      <c r="A2" s="1">
        <v>2015</v>
      </c>
      <c r="B2" t="s">
        <v>4</v>
      </c>
      <c r="C2" t="s">
        <v>5</v>
      </c>
      <c r="D2">
        <v>1140</v>
      </c>
      <c r="G2" s="20" t="s">
        <v>12</v>
      </c>
      <c r="H2" s="20" t="s">
        <v>13</v>
      </c>
      <c r="I2" s="20" t="s">
        <v>14</v>
      </c>
    </row>
    <row r="3" spans="1:9" x14ac:dyDescent="0.3">
      <c r="A3" s="1">
        <v>2015</v>
      </c>
      <c r="B3" t="s">
        <v>4</v>
      </c>
      <c r="C3" t="s">
        <v>6</v>
      </c>
      <c r="D3">
        <v>1800</v>
      </c>
      <c r="G3" s="21">
        <v>2015</v>
      </c>
      <c r="H3" s="21" t="s">
        <v>4</v>
      </c>
      <c r="I3" s="21" t="s">
        <v>5</v>
      </c>
    </row>
    <row r="4" spans="1:9" x14ac:dyDescent="0.3">
      <c r="A4" s="1">
        <v>2015</v>
      </c>
      <c r="B4" t="s">
        <v>7</v>
      </c>
      <c r="C4" t="s">
        <v>5</v>
      </c>
      <c r="D4">
        <v>950</v>
      </c>
      <c r="G4" s="21">
        <v>2016</v>
      </c>
      <c r="H4" s="21" t="s">
        <v>7</v>
      </c>
      <c r="I4" s="21" t="s">
        <v>6</v>
      </c>
    </row>
    <row r="5" spans="1:9" x14ac:dyDescent="0.3">
      <c r="A5" s="1">
        <v>2015</v>
      </c>
      <c r="B5" t="s">
        <v>7</v>
      </c>
      <c r="C5" t="s">
        <v>6</v>
      </c>
      <c r="D5">
        <v>1570</v>
      </c>
      <c r="G5" s="21">
        <v>2017</v>
      </c>
      <c r="H5" s="21" t="s">
        <v>8</v>
      </c>
      <c r="I5" s="3" t="s">
        <v>25</v>
      </c>
    </row>
    <row r="6" spans="1:9" x14ac:dyDescent="0.3">
      <c r="A6" s="1">
        <v>2015</v>
      </c>
      <c r="B6" t="s">
        <v>8</v>
      </c>
      <c r="C6" t="s">
        <v>5</v>
      </c>
      <c r="D6">
        <v>1120</v>
      </c>
      <c r="G6" s="21">
        <v>2018</v>
      </c>
      <c r="H6" s="21" t="s">
        <v>9</v>
      </c>
      <c r="I6" s="3" t="s">
        <v>26</v>
      </c>
    </row>
    <row r="7" spans="1:9" x14ac:dyDescent="0.3">
      <c r="A7" s="1">
        <v>2015</v>
      </c>
      <c r="B7" t="s">
        <v>8</v>
      </c>
      <c r="C7" t="s">
        <v>6</v>
      </c>
      <c r="D7">
        <v>1510</v>
      </c>
      <c r="G7" s="21">
        <v>2019</v>
      </c>
      <c r="H7" s="21" t="s">
        <v>10</v>
      </c>
      <c r="I7" s="1"/>
    </row>
    <row r="8" spans="1:9" x14ac:dyDescent="0.3">
      <c r="A8" s="1">
        <v>2015</v>
      </c>
      <c r="B8" t="s">
        <v>9</v>
      </c>
      <c r="C8" t="s">
        <v>5</v>
      </c>
      <c r="D8">
        <v>1040</v>
      </c>
      <c r="G8" s="21">
        <v>2020</v>
      </c>
      <c r="H8" s="21" t="s">
        <v>11</v>
      </c>
    </row>
    <row r="9" spans="1:9" x14ac:dyDescent="0.3">
      <c r="A9" s="1">
        <v>2015</v>
      </c>
      <c r="B9" t="s">
        <v>9</v>
      </c>
      <c r="C9" t="s">
        <v>6</v>
      </c>
      <c r="D9">
        <v>1350</v>
      </c>
      <c r="G9" s="21">
        <v>2021</v>
      </c>
      <c r="H9" s="1"/>
    </row>
    <row r="10" spans="1:9" x14ac:dyDescent="0.3">
      <c r="A10" s="1">
        <v>2015</v>
      </c>
      <c r="B10" t="s">
        <v>10</v>
      </c>
      <c r="C10" t="s">
        <v>5</v>
      </c>
      <c r="D10">
        <v>930</v>
      </c>
      <c r="G10" s="21">
        <v>2022</v>
      </c>
      <c r="H10" s="1"/>
      <c r="I10" s="1"/>
    </row>
    <row r="11" spans="1:9" x14ac:dyDescent="0.3">
      <c r="A11" s="1">
        <v>2015</v>
      </c>
      <c r="B11" t="s">
        <v>10</v>
      </c>
      <c r="C11" t="s">
        <v>25</v>
      </c>
      <c r="D11">
        <v>1210</v>
      </c>
      <c r="G11" s="21">
        <v>2023</v>
      </c>
      <c r="H11" s="1"/>
      <c r="I11" s="1"/>
    </row>
    <row r="12" spans="1:9" x14ac:dyDescent="0.3">
      <c r="A12" s="1">
        <v>2015</v>
      </c>
      <c r="B12" t="s">
        <v>11</v>
      </c>
      <c r="C12" t="s">
        <v>5</v>
      </c>
      <c r="D12">
        <v>920</v>
      </c>
      <c r="G12" s="21">
        <v>2024</v>
      </c>
      <c r="H12" s="1"/>
      <c r="I12" s="1"/>
    </row>
    <row r="13" spans="1:9" x14ac:dyDescent="0.3">
      <c r="A13" s="1">
        <v>2015</v>
      </c>
      <c r="B13" t="s">
        <v>11</v>
      </c>
      <c r="C13" t="s">
        <v>6</v>
      </c>
      <c r="D13">
        <v>1320</v>
      </c>
      <c r="G13" s="21">
        <v>2025</v>
      </c>
      <c r="H13" s="1"/>
      <c r="I13" s="1"/>
    </row>
    <row r="14" spans="1:9" x14ac:dyDescent="0.3">
      <c r="A14" s="1">
        <v>2016</v>
      </c>
      <c r="B14" t="s">
        <v>4</v>
      </c>
      <c r="C14" t="s">
        <v>5</v>
      </c>
      <c r="D14">
        <v>1210</v>
      </c>
    </row>
    <row r="15" spans="1:9" x14ac:dyDescent="0.3">
      <c r="A15" s="1">
        <v>2016</v>
      </c>
      <c r="B15" t="s">
        <v>4</v>
      </c>
      <c r="C15" t="s">
        <v>6</v>
      </c>
      <c r="D15">
        <v>1370</v>
      </c>
    </row>
    <row r="16" spans="1:9" x14ac:dyDescent="0.3">
      <c r="A16" s="1">
        <v>2016</v>
      </c>
      <c r="B16" t="s">
        <v>7</v>
      </c>
      <c r="C16" t="s">
        <v>26</v>
      </c>
      <c r="D16">
        <v>1110</v>
      </c>
    </row>
    <row r="17" spans="1:4" x14ac:dyDescent="0.3">
      <c r="A17" s="1">
        <v>2016</v>
      </c>
      <c r="B17" t="s">
        <v>7</v>
      </c>
      <c r="C17" t="s">
        <v>6</v>
      </c>
      <c r="D17">
        <v>1370</v>
      </c>
    </row>
    <row r="18" spans="1:4" x14ac:dyDescent="0.3">
      <c r="A18" s="1">
        <v>2016</v>
      </c>
      <c r="B18" t="s">
        <v>8</v>
      </c>
      <c r="C18" t="s">
        <v>5</v>
      </c>
      <c r="D18">
        <v>990</v>
      </c>
    </row>
    <row r="19" spans="1:4" x14ac:dyDescent="0.3">
      <c r="A19" s="1">
        <v>2016</v>
      </c>
      <c r="B19" t="s">
        <v>8</v>
      </c>
      <c r="C19" t="s">
        <v>6</v>
      </c>
      <c r="D19">
        <v>1480</v>
      </c>
    </row>
    <row r="20" spans="1:4" x14ac:dyDescent="0.3">
      <c r="A20" s="1">
        <v>2016</v>
      </c>
      <c r="B20" t="s">
        <v>9</v>
      </c>
      <c r="C20" t="s">
        <v>5</v>
      </c>
      <c r="D20">
        <v>1160</v>
      </c>
    </row>
    <row r="21" spans="1:4" x14ac:dyDescent="0.3">
      <c r="A21" s="1">
        <v>2016</v>
      </c>
      <c r="B21" t="s">
        <v>9</v>
      </c>
      <c r="C21" t="s">
        <v>26</v>
      </c>
      <c r="D21">
        <v>1350</v>
      </c>
    </row>
    <row r="22" spans="1:4" x14ac:dyDescent="0.3">
      <c r="A22" s="1">
        <v>2016</v>
      </c>
      <c r="B22" t="s">
        <v>10</v>
      </c>
      <c r="C22" t="s">
        <v>5</v>
      </c>
      <c r="D22">
        <v>980</v>
      </c>
    </row>
    <row r="23" spans="1:4" x14ac:dyDescent="0.3">
      <c r="A23" s="1">
        <v>2016</v>
      </c>
      <c r="B23" t="s">
        <v>10</v>
      </c>
      <c r="C23" t="s">
        <v>6</v>
      </c>
      <c r="D23">
        <v>1280</v>
      </c>
    </row>
    <row r="24" spans="1:4" x14ac:dyDescent="0.3">
      <c r="A24" s="1">
        <v>2016</v>
      </c>
      <c r="B24" t="s">
        <v>11</v>
      </c>
      <c r="C24" t="s">
        <v>5</v>
      </c>
      <c r="D24">
        <v>1110</v>
      </c>
    </row>
    <row r="25" spans="1:4" x14ac:dyDescent="0.3">
      <c r="A25" s="1">
        <v>2016</v>
      </c>
      <c r="B25" t="s">
        <v>11</v>
      </c>
      <c r="C25" t="s">
        <v>6</v>
      </c>
      <c r="D25">
        <v>1740</v>
      </c>
    </row>
    <row r="26" spans="1:4" x14ac:dyDescent="0.3">
      <c r="A26" s="1">
        <v>2017</v>
      </c>
      <c r="B26" t="s">
        <v>4</v>
      </c>
      <c r="C26" t="s">
        <v>5</v>
      </c>
      <c r="D26">
        <v>880</v>
      </c>
    </row>
    <row r="27" spans="1:4" x14ac:dyDescent="0.3">
      <c r="A27" s="1">
        <v>2017</v>
      </c>
      <c r="B27" t="s">
        <v>4</v>
      </c>
      <c r="C27" t="s">
        <v>6</v>
      </c>
      <c r="D27">
        <v>1350</v>
      </c>
    </row>
    <row r="28" spans="1:4" x14ac:dyDescent="0.3">
      <c r="A28" s="1">
        <v>2017</v>
      </c>
      <c r="B28" t="s">
        <v>7</v>
      </c>
      <c r="C28" t="s">
        <v>26</v>
      </c>
      <c r="D28">
        <v>990</v>
      </c>
    </row>
    <row r="29" spans="1:4" x14ac:dyDescent="0.3">
      <c r="A29" s="1">
        <v>2017</v>
      </c>
      <c r="B29" t="s">
        <v>7</v>
      </c>
      <c r="C29" t="s">
        <v>6</v>
      </c>
      <c r="D29">
        <v>1110</v>
      </c>
    </row>
    <row r="30" spans="1:4" x14ac:dyDescent="0.3">
      <c r="A30" s="1">
        <v>2017</v>
      </c>
      <c r="B30" t="s">
        <v>8</v>
      </c>
      <c r="C30" t="s">
        <v>5</v>
      </c>
      <c r="D30">
        <v>1140</v>
      </c>
    </row>
    <row r="31" spans="1:4" x14ac:dyDescent="0.3">
      <c r="A31" s="1">
        <v>2017</v>
      </c>
      <c r="B31" t="s">
        <v>8</v>
      </c>
      <c r="C31" t="s">
        <v>6</v>
      </c>
      <c r="D31">
        <v>820</v>
      </c>
    </row>
    <row r="32" spans="1:4" x14ac:dyDescent="0.3">
      <c r="A32" s="1">
        <v>2017</v>
      </c>
      <c r="B32" t="s">
        <v>9</v>
      </c>
      <c r="C32" t="s">
        <v>5</v>
      </c>
      <c r="D32">
        <v>970</v>
      </c>
    </row>
    <row r="33" spans="1:4" x14ac:dyDescent="0.3">
      <c r="A33" s="1">
        <v>2017</v>
      </c>
      <c r="B33" t="s">
        <v>9</v>
      </c>
      <c r="C33" t="s">
        <v>6</v>
      </c>
      <c r="D33">
        <v>1600</v>
      </c>
    </row>
    <row r="34" spans="1:4" x14ac:dyDescent="0.3">
      <c r="A34" s="1">
        <v>2017</v>
      </c>
      <c r="B34" t="s">
        <v>10</v>
      </c>
      <c r="C34" t="s">
        <v>5</v>
      </c>
      <c r="D34">
        <v>920</v>
      </c>
    </row>
    <row r="35" spans="1:4" x14ac:dyDescent="0.3">
      <c r="A35" s="1">
        <v>2017</v>
      </c>
      <c r="B35" t="s">
        <v>10</v>
      </c>
      <c r="C35" t="s">
        <v>26</v>
      </c>
      <c r="D35">
        <v>1870</v>
      </c>
    </row>
    <row r="36" spans="1:4" x14ac:dyDescent="0.3">
      <c r="A36" s="1">
        <v>2017</v>
      </c>
      <c r="B36" t="s">
        <v>11</v>
      </c>
      <c r="C36" t="s">
        <v>5</v>
      </c>
      <c r="D36">
        <v>1080</v>
      </c>
    </row>
    <row r="37" spans="1:4" x14ac:dyDescent="0.3">
      <c r="A37" s="1">
        <v>2017</v>
      </c>
      <c r="B37" t="s">
        <v>11</v>
      </c>
      <c r="C37" t="s">
        <v>6</v>
      </c>
      <c r="D37">
        <v>1430</v>
      </c>
    </row>
    <row r="38" spans="1:4" x14ac:dyDescent="0.3">
      <c r="A38" s="1">
        <v>2017</v>
      </c>
      <c r="B38" t="s">
        <v>4</v>
      </c>
      <c r="C38" t="s">
        <v>5</v>
      </c>
      <c r="D38">
        <v>860</v>
      </c>
    </row>
    <row r="39" spans="1:4" x14ac:dyDescent="0.3">
      <c r="A39" s="1">
        <v>2017</v>
      </c>
      <c r="B39" t="s">
        <v>4</v>
      </c>
      <c r="C39" t="s">
        <v>6</v>
      </c>
      <c r="D39">
        <v>1470</v>
      </c>
    </row>
    <row r="40" spans="1:4" x14ac:dyDescent="0.3">
      <c r="A40" s="1">
        <v>2017</v>
      </c>
      <c r="B40" t="s">
        <v>7</v>
      </c>
      <c r="C40" t="s">
        <v>5</v>
      </c>
      <c r="D40">
        <v>1080</v>
      </c>
    </row>
    <row r="41" spans="1:4" x14ac:dyDescent="0.3">
      <c r="A41" s="1">
        <v>2017</v>
      </c>
      <c r="B41" t="s">
        <v>7</v>
      </c>
      <c r="C41" t="s">
        <v>6</v>
      </c>
      <c r="D41">
        <v>1950</v>
      </c>
    </row>
    <row r="42" spans="1:4" x14ac:dyDescent="0.3">
      <c r="A42" s="1">
        <v>2017</v>
      </c>
      <c r="B42" t="s">
        <v>8</v>
      </c>
      <c r="C42" t="s">
        <v>5</v>
      </c>
      <c r="D42">
        <v>1050</v>
      </c>
    </row>
    <row r="43" spans="1:4" x14ac:dyDescent="0.3">
      <c r="A43" s="1">
        <v>2017</v>
      </c>
      <c r="B43" t="s">
        <v>8</v>
      </c>
      <c r="C43" t="s">
        <v>6</v>
      </c>
      <c r="D43">
        <v>1940</v>
      </c>
    </row>
    <row r="44" spans="1:4" x14ac:dyDescent="0.3">
      <c r="A44" s="1">
        <v>2017</v>
      </c>
      <c r="B44" t="s">
        <v>9</v>
      </c>
      <c r="C44" t="s">
        <v>5</v>
      </c>
      <c r="D44">
        <v>890</v>
      </c>
    </row>
    <row r="45" spans="1:4" x14ac:dyDescent="0.3">
      <c r="A45" s="1">
        <v>2017</v>
      </c>
      <c r="B45" t="s">
        <v>9</v>
      </c>
      <c r="C45" t="s">
        <v>6</v>
      </c>
      <c r="D45">
        <v>1840</v>
      </c>
    </row>
    <row r="46" spans="1:4" x14ac:dyDescent="0.3">
      <c r="A46" s="1">
        <v>2017</v>
      </c>
      <c r="B46" t="s">
        <v>10</v>
      </c>
      <c r="C46" t="s">
        <v>5</v>
      </c>
      <c r="D46">
        <v>1230</v>
      </c>
    </row>
    <row r="47" spans="1:4" x14ac:dyDescent="0.3">
      <c r="A47" s="1">
        <v>2017</v>
      </c>
      <c r="B47" t="s">
        <v>10</v>
      </c>
      <c r="C47" t="s">
        <v>6</v>
      </c>
      <c r="D47">
        <v>1550</v>
      </c>
    </row>
    <row r="48" spans="1:4" x14ac:dyDescent="0.3">
      <c r="A48" s="1">
        <v>2017</v>
      </c>
      <c r="B48" t="s">
        <v>11</v>
      </c>
      <c r="C48" t="s">
        <v>5</v>
      </c>
      <c r="D48">
        <v>1000</v>
      </c>
    </row>
    <row r="49" spans="1:4" x14ac:dyDescent="0.3">
      <c r="A49" s="1">
        <v>2017</v>
      </c>
      <c r="B49" t="s">
        <v>11</v>
      </c>
      <c r="C49" t="s">
        <v>6</v>
      </c>
      <c r="D49">
        <v>1190</v>
      </c>
    </row>
    <row r="50" spans="1:4" x14ac:dyDescent="0.3">
      <c r="A50" s="1">
        <v>2018</v>
      </c>
      <c r="B50" t="s">
        <v>4</v>
      </c>
      <c r="C50" t="s">
        <v>5</v>
      </c>
      <c r="D50">
        <v>950</v>
      </c>
    </row>
    <row r="51" spans="1:4" x14ac:dyDescent="0.3">
      <c r="A51" s="1">
        <v>2018</v>
      </c>
      <c r="B51" t="s">
        <v>4</v>
      </c>
      <c r="C51" t="s">
        <v>6</v>
      </c>
      <c r="D51">
        <v>1420</v>
      </c>
    </row>
    <row r="52" spans="1:4" x14ac:dyDescent="0.3">
      <c r="A52" s="1">
        <v>2018</v>
      </c>
      <c r="B52" t="s">
        <v>7</v>
      </c>
      <c r="C52" t="s">
        <v>5</v>
      </c>
      <c r="D52">
        <v>1140</v>
      </c>
    </row>
    <row r="53" spans="1:4" x14ac:dyDescent="0.3">
      <c r="A53" s="1">
        <v>2018</v>
      </c>
      <c r="B53" t="s">
        <v>7</v>
      </c>
      <c r="C53" t="s">
        <v>6</v>
      </c>
      <c r="D53">
        <v>1090</v>
      </c>
    </row>
    <row r="54" spans="1:4" x14ac:dyDescent="0.3">
      <c r="A54" s="1">
        <v>2018</v>
      </c>
      <c r="B54" t="s">
        <v>8</v>
      </c>
      <c r="C54" t="s">
        <v>5</v>
      </c>
      <c r="D54">
        <v>980</v>
      </c>
    </row>
    <row r="55" spans="1:4" x14ac:dyDescent="0.3">
      <c r="A55" s="1">
        <v>2018</v>
      </c>
      <c r="B55" t="s">
        <v>8</v>
      </c>
      <c r="C55" t="s">
        <v>6</v>
      </c>
      <c r="D55">
        <v>1600</v>
      </c>
    </row>
    <row r="56" spans="1:4" x14ac:dyDescent="0.3">
      <c r="A56" s="1">
        <v>2018</v>
      </c>
      <c r="B56" t="s">
        <v>9</v>
      </c>
      <c r="C56" t="s">
        <v>5</v>
      </c>
      <c r="D56">
        <v>1010</v>
      </c>
    </row>
    <row r="57" spans="1:4" x14ac:dyDescent="0.3">
      <c r="A57" s="1">
        <v>2018</v>
      </c>
      <c r="B57" t="s">
        <v>9</v>
      </c>
      <c r="C57" t="s">
        <v>6</v>
      </c>
      <c r="D57">
        <v>1290</v>
      </c>
    </row>
    <row r="58" spans="1:4" x14ac:dyDescent="0.3">
      <c r="A58" s="1">
        <v>2018</v>
      </c>
      <c r="B58" t="s">
        <v>10</v>
      </c>
      <c r="C58" t="s">
        <v>5</v>
      </c>
      <c r="D58">
        <v>1060</v>
      </c>
    </row>
    <row r="59" spans="1:4" x14ac:dyDescent="0.3">
      <c r="A59" s="1">
        <v>2018</v>
      </c>
      <c r="B59" t="s">
        <v>10</v>
      </c>
      <c r="C59" t="s">
        <v>6</v>
      </c>
      <c r="D59">
        <v>1490</v>
      </c>
    </row>
    <row r="60" spans="1:4" x14ac:dyDescent="0.3">
      <c r="A60" s="1">
        <v>2018</v>
      </c>
      <c r="B60" t="s">
        <v>11</v>
      </c>
      <c r="C60" t="s">
        <v>5</v>
      </c>
      <c r="D60">
        <v>950</v>
      </c>
    </row>
    <row r="61" spans="1:4" x14ac:dyDescent="0.3">
      <c r="A61" s="1">
        <v>2018</v>
      </c>
      <c r="B61" t="s">
        <v>11</v>
      </c>
      <c r="C61" t="s">
        <v>26</v>
      </c>
      <c r="D61">
        <v>980</v>
      </c>
    </row>
    <row r="62" spans="1:4" x14ac:dyDescent="0.3">
      <c r="A62" s="1">
        <v>2019</v>
      </c>
      <c r="B62" t="s">
        <v>4</v>
      </c>
      <c r="C62" t="s">
        <v>5</v>
      </c>
      <c r="D62">
        <v>1050</v>
      </c>
    </row>
    <row r="63" spans="1:4" x14ac:dyDescent="0.3">
      <c r="A63" s="1">
        <v>2019</v>
      </c>
      <c r="B63" t="s">
        <v>4</v>
      </c>
      <c r="C63" t="s">
        <v>6</v>
      </c>
      <c r="D63">
        <v>1490</v>
      </c>
    </row>
    <row r="64" spans="1:4" x14ac:dyDescent="0.3">
      <c r="A64" s="1">
        <v>2019</v>
      </c>
      <c r="B64" t="s">
        <v>7</v>
      </c>
      <c r="C64" t="s">
        <v>26</v>
      </c>
      <c r="D64">
        <v>1030</v>
      </c>
    </row>
    <row r="65" spans="1:4" x14ac:dyDescent="0.3">
      <c r="A65" s="1">
        <v>2019</v>
      </c>
      <c r="B65" t="s">
        <v>7</v>
      </c>
      <c r="C65" t="s">
        <v>26</v>
      </c>
      <c r="D65">
        <v>1460</v>
      </c>
    </row>
    <row r="66" spans="1:4" x14ac:dyDescent="0.3">
      <c r="A66" s="1">
        <v>2019</v>
      </c>
      <c r="B66" t="s">
        <v>8</v>
      </c>
      <c r="C66" t="s">
        <v>5</v>
      </c>
      <c r="D66">
        <v>860</v>
      </c>
    </row>
    <row r="67" spans="1:4" x14ac:dyDescent="0.3">
      <c r="A67" s="1">
        <v>2019</v>
      </c>
      <c r="B67" t="s">
        <v>8</v>
      </c>
      <c r="C67" t="s">
        <v>6</v>
      </c>
      <c r="D67">
        <v>1050</v>
      </c>
    </row>
    <row r="68" spans="1:4" x14ac:dyDescent="0.3">
      <c r="A68" s="1">
        <v>2019</v>
      </c>
      <c r="B68" t="s">
        <v>9</v>
      </c>
      <c r="C68" t="s">
        <v>5</v>
      </c>
      <c r="D68">
        <v>910</v>
      </c>
    </row>
    <row r="69" spans="1:4" x14ac:dyDescent="0.3">
      <c r="A69" s="1">
        <v>2019</v>
      </c>
      <c r="B69" t="s">
        <v>9</v>
      </c>
      <c r="C69" t="s">
        <v>6</v>
      </c>
      <c r="D69">
        <v>1430</v>
      </c>
    </row>
    <row r="70" spans="1:4" x14ac:dyDescent="0.3">
      <c r="A70" s="1">
        <v>2019</v>
      </c>
      <c r="B70" t="s">
        <v>10</v>
      </c>
      <c r="C70" t="s">
        <v>5</v>
      </c>
      <c r="D70">
        <v>950</v>
      </c>
    </row>
    <row r="71" spans="1:4" x14ac:dyDescent="0.3">
      <c r="A71" s="1">
        <v>2019</v>
      </c>
      <c r="B71" t="s">
        <v>10</v>
      </c>
      <c r="C71" t="s">
        <v>6</v>
      </c>
      <c r="D71">
        <v>1320</v>
      </c>
    </row>
    <row r="72" spans="1:4" x14ac:dyDescent="0.3">
      <c r="A72" s="1">
        <v>2019</v>
      </c>
      <c r="B72" t="s">
        <v>11</v>
      </c>
      <c r="C72" t="s">
        <v>26</v>
      </c>
      <c r="D72">
        <v>1060</v>
      </c>
    </row>
    <row r="73" spans="1:4" x14ac:dyDescent="0.3">
      <c r="A73" s="1">
        <v>2019</v>
      </c>
      <c r="B73" t="s">
        <v>11</v>
      </c>
      <c r="C73" t="s">
        <v>6</v>
      </c>
      <c r="D73">
        <v>1790</v>
      </c>
    </row>
    <row r="74" spans="1:4" x14ac:dyDescent="0.3">
      <c r="A74" s="1">
        <v>2019</v>
      </c>
      <c r="B74" t="s">
        <v>4</v>
      </c>
      <c r="C74" t="s">
        <v>5</v>
      </c>
      <c r="D74">
        <v>1020</v>
      </c>
    </row>
    <row r="75" spans="1:4" x14ac:dyDescent="0.3">
      <c r="A75" s="1">
        <v>2019</v>
      </c>
      <c r="B75" t="s">
        <v>4</v>
      </c>
      <c r="C75" t="s">
        <v>6</v>
      </c>
      <c r="D75">
        <v>1480</v>
      </c>
    </row>
    <row r="76" spans="1:4" x14ac:dyDescent="0.3">
      <c r="A76" s="1">
        <v>2019</v>
      </c>
      <c r="B76" t="s">
        <v>7</v>
      </c>
      <c r="C76" t="s">
        <v>5</v>
      </c>
      <c r="D76">
        <v>980</v>
      </c>
    </row>
    <row r="77" spans="1:4" x14ac:dyDescent="0.3">
      <c r="A77" s="1">
        <v>2019</v>
      </c>
      <c r="B77" t="s">
        <v>7</v>
      </c>
      <c r="C77" t="s">
        <v>6</v>
      </c>
      <c r="D77">
        <v>1400</v>
      </c>
    </row>
    <row r="78" spans="1:4" x14ac:dyDescent="0.3">
      <c r="A78" s="1">
        <v>2019</v>
      </c>
      <c r="B78" t="s">
        <v>8</v>
      </c>
      <c r="C78" t="s">
        <v>5</v>
      </c>
      <c r="D78">
        <v>890</v>
      </c>
    </row>
    <row r="79" spans="1:4" x14ac:dyDescent="0.3">
      <c r="A79" s="1">
        <v>2019</v>
      </c>
      <c r="B79" t="s">
        <v>8</v>
      </c>
      <c r="C79" t="s">
        <v>6</v>
      </c>
      <c r="D79">
        <v>1760</v>
      </c>
    </row>
    <row r="80" spans="1:4" x14ac:dyDescent="0.3">
      <c r="A80" s="1">
        <v>2019</v>
      </c>
      <c r="B80" t="s">
        <v>9</v>
      </c>
      <c r="C80" t="s">
        <v>5</v>
      </c>
      <c r="D80">
        <v>970</v>
      </c>
    </row>
    <row r="81" spans="1:4" x14ac:dyDescent="0.3">
      <c r="A81" s="1">
        <v>2019</v>
      </c>
      <c r="B81" t="s">
        <v>9</v>
      </c>
      <c r="C81" t="s">
        <v>6</v>
      </c>
      <c r="D81">
        <v>1190</v>
      </c>
    </row>
    <row r="82" spans="1:4" x14ac:dyDescent="0.3">
      <c r="A82" s="1">
        <v>2019</v>
      </c>
      <c r="B82" t="s">
        <v>10</v>
      </c>
      <c r="C82" t="s">
        <v>5</v>
      </c>
      <c r="D82">
        <v>870</v>
      </c>
    </row>
    <row r="83" spans="1:4" x14ac:dyDescent="0.3">
      <c r="A83" s="1">
        <v>2019</v>
      </c>
      <c r="B83" t="s">
        <v>10</v>
      </c>
      <c r="C83" t="s">
        <v>6</v>
      </c>
      <c r="D83">
        <v>1010</v>
      </c>
    </row>
    <row r="84" spans="1:4" x14ac:dyDescent="0.3">
      <c r="A84" s="1">
        <v>2019</v>
      </c>
      <c r="B84" t="s">
        <v>11</v>
      </c>
      <c r="C84" t="s">
        <v>5</v>
      </c>
      <c r="D84">
        <v>880</v>
      </c>
    </row>
    <row r="85" spans="1:4" x14ac:dyDescent="0.3">
      <c r="A85" s="1">
        <v>2019</v>
      </c>
      <c r="B85" t="s">
        <v>11</v>
      </c>
      <c r="C85" t="s">
        <v>6</v>
      </c>
      <c r="D85">
        <v>1260</v>
      </c>
    </row>
    <row r="86" spans="1:4" x14ac:dyDescent="0.3">
      <c r="A86" s="1">
        <v>2020</v>
      </c>
      <c r="B86" t="s">
        <v>4</v>
      </c>
      <c r="C86" t="s">
        <v>5</v>
      </c>
      <c r="D86">
        <v>1070</v>
      </c>
    </row>
    <row r="87" spans="1:4" x14ac:dyDescent="0.3">
      <c r="A87" s="1">
        <v>2020</v>
      </c>
      <c r="B87" t="s">
        <v>4</v>
      </c>
      <c r="C87" t="s">
        <v>6</v>
      </c>
      <c r="D87">
        <v>1590</v>
      </c>
    </row>
    <row r="88" spans="1:4" x14ac:dyDescent="0.3">
      <c r="A88" s="1">
        <v>2020</v>
      </c>
      <c r="B88" t="s">
        <v>7</v>
      </c>
      <c r="C88" t="s">
        <v>5</v>
      </c>
      <c r="D88">
        <v>890</v>
      </c>
    </row>
    <row r="89" spans="1:4" x14ac:dyDescent="0.3">
      <c r="A89" s="1">
        <v>2020</v>
      </c>
      <c r="B89" t="s">
        <v>7</v>
      </c>
      <c r="C89" t="s">
        <v>6</v>
      </c>
      <c r="D89">
        <v>1430</v>
      </c>
    </row>
    <row r="90" spans="1:4" x14ac:dyDescent="0.3">
      <c r="A90" s="1">
        <v>2020</v>
      </c>
      <c r="B90" t="s">
        <v>8</v>
      </c>
      <c r="C90" t="s">
        <v>5</v>
      </c>
      <c r="D90">
        <v>1050</v>
      </c>
    </row>
    <row r="91" spans="1:4" x14ac:dyDescent="0.3">
      <c r="A91" s="1">
        <v>2020</v>
      </c>
      <c r="B91" t="s">
        <v>8</v>
      </c>
      <c r="C91" t="s">
        <v>6</v>
      </c>
      <c r="D91">
        <v>780</v>
      </c>
    </row>
    <row r="92" spans="1:4" x14ac:dyDescent="0.3">
      <c r="A92" s="1">
        <v>2020</v>
      </c>
      <c r="B92" t="s">
        <v>9</v>
      </c>
      <c r="C92" t="s">
        <v>5</v>
      </c>
      <c r="D92">
        <v>1120</v>
      </c>
    </row>
    <row r="93" spans="1:4" x14ac:dyDescent="0.3">
      <c r="A93" s="1">
        <v>2020</v>
      </c>
      <c r="B93" t="s">
        <v>9</v>
      </c>
      <c r="C93" t="s">
        <v>6</v>
      </c>
      <c r="D93">
        <v>1220</v>
      </c>
    </row>
    <row r="94" spans="1:4" x14ac:dyDescent="0.3">
      <c r="A94" s="1">
        <v>2020</v>
      </c>
      <c r="B94" t="s">
        <v>10</v>
      </c>
      <c r="C94" t="s">
        <v>26</v>
      </c>
      <c r="D94">
        <v>950</v>
      </c>
    </row>
    <row r="95" spans="1:4" x14ac:dyDescent="0.3">
      <c r="A95" s="1">
        <v>2020</v>
      </c>
      <c r="B95" t="s">
        <v>10</v>
      </c>
      <c r="C95" t="s">
        <v>6</v>
      </c>
      <c r="D95">
        <v>1260</v>
      </c>
    </row>
    <row r="96" spans="1:4" x14ac:dyDescent="0.3">
      <c r="A96" s="1">
        <v>2020</v>
      </c>
      <c r="B96" t="s">
        <v>11</v>
      </c>
      <c r="C96" t="s">
        <v>5</v>
      </c>
      <c r="D96">
        <v>1120</v>
      </c>
    </row>
    <row r="97" spans="1:4" x14ac:dyDescent="0.3">
      <c r="A97" s="1">
        <v>2020</v>
      </c>
      <c r="B97" t="s">
        <v>11</v>
      </c>
      <c r="C97" t="s">
        <v>6</v>
      </c>
      <c r="D97">
        <v>1620</v>
      </c>
    </row>
    <row r="98" spans="1:4" x14ac:dyDescent="0.3">
      <c r="A98" s="1">
        <v>2021</v>
      </c>
      <c r="B98" t="s">
        <v>4</v>
      </c>
      <c r="C98" t="s">
        <v>25</v>
      </c>
      <c r="D98">
        <v>850</v>
      </c>
    </row>
    <row r="99" spans="1:4" x14ac:dyDescent="0.3">
      <c r="A99" s="1">
        <v>2021</v>
      </c>
      <c r="B99" t="s">
        <v>4</v>
      </c>
      <c r="C99" t="s">
        <v>6</v>
      </c>
      <c r="D99">
        <v>1390</v>
      </c>
    </row>
    <row r="100" spans="1:4" x14ac:dyDescent="0.3">
      <c r="A100" s="1">
        <v>2021</v>
      </c>
      <c r="B100" t="s">
        <v>7</v>
      </c>
      <c r="C100" t="s">
        <v>25</v>
      </c>
      <c r="D100">
        <v>1150</v>
      </c>
    </row>
    <row r="101" spans="1:4" x14ac:dyDescent="0.3">
      <c r="A101" s="1">
        <v>2021</v>
      </c>
      <c r="B101" t="s">
        <v>7</v>
      </c>
      <c r="C101" t="s">
        <v>6</v>
      </c>
      <c r="D101">
        <v>1470</v>
      </c>
    </row>
    <row r="102" spans="1:4" x14ac:dyDescent="0.3">
      <c r="A102" s="1">
        <v>2021</v>
      </c>
      <c r="B102" t="s">
        <v>8</v>
      </c>
      <c r="C102" t="s">
        <v>5</v>
      </c>
      <c r="D102">
        <v>1080</v>
      </c>
    </row>
    <row r="103" spans="1:4" x14ac:dyDescent="0.3">
      <c r="A103" s="1">
        <v>2021</v>
      </c>
      <c r="B103" t="s">
        <v>8</v>
      </c>
      <c r="C103" t="s">
        <v>6</v>
      </c>
      <c r="D103">
        <v>1260</v>
      </c>
    </row>
    <row r="104" spans="1:4" x14ac:dyDescent="0.3">
      <c r="A104" s="1">
        <v>2021</v>
      </c>
      <c r="B104" t="s">
        <v>9</v>
      </c>
      <c r="C104" t="s">
        <v>25</v>
      </c>
      <c r="D104">
        <v>1110</v>
      </c>
    </row>
    <row r="105" spans="1:4" x14ac:dyDescent="0.3">
      <c r="A105" s="1">
        <v>2021</v>
      </c>
      <c r="B105" t="s">
        <v>9</v>
      </c>
      <c r="C105" t="s">
        <v>6</v>
      </c>
      <c r="D105">
        <v>1810</v>
      </c>
    </row>
    <row r="106" spans="1:4" x14ac:dyDescent="0.3">
      <c r="A106" s="1">
        <v>2021</v>
      </c>
      <c r="B106" t="s">
        <v>10</v>
      </c>
      <c r="C106" t="s">
        <v>5</v>
      </c>
      <c r="D106">
        <v>950</v>
      </c>
    </row>
    <row r="107" spans="1:4" x14ac:dyDescent="0.3">
      <c r="A107" s="1">
        <v>2021</v>
      </c>
      <c r="B107" t="s">
        <v>10</v>
      </c>
      <c r="C107" t="s">
        <v>6</v>
      </c>
      <c r="D107">
        <v>1460</v>
      </c>
    </row>
    <row r="108" spans="1:4" x14ac:dyDescent="0.3">
      <c r="A108" s="1">
        <v>2021</v>
      </c>
      <c r="B108" t="s">
        <v>11</v>
      </c>
      <c r="C108" t="s">
        <v>5</v>
      </c>
      <c r="D108">
        <v>1180</v>
      </c>
    </row>
    <row r="109" spans="1:4" x14ac:dyDescent="0.3">
      <c r="A109" s="1">
        <v>2021</v>
      </c>
      <c r="B109" t="s">
        <v>11</v>
      </c>
      <c r="C109" t="s">
        <v>6</v>
      </c>
      <c r="D109">
        <v>1400</v>
      </c>
    </row>
    <row r="110" spans="1:4" x14ac:dyDescent="0.3">
      <c r="A110" s="1">
        <v>2021</v>
      </c>
      <c r="B110" t="s">
        <v>4</v>
      </c>
      <c r="C110" t="s">
        <v>5</v>
      </c>
      <c r="D110">
        <v>1010</v>
      </c>
    </row>
    <row r="111" spans="1:4" x14ac:dyDescent="0.3">
      <c r="A111" s="1">
        <v>2021</v>
      </c>
      <c r="B111" t="s">
        <v>4</v>
      </c>
      <c r="C111" t="s">
        <v>6</v>
      </c>
      <c r="D111">
        <v>1420</v>
      </c>
    </row>
    <row r="112" spans="1:4" x14ac:dyDescent="0.3">
      <c r="A112" s="1">
        <v>2021</v>
      </c>
      <c r="B112" t="s">
        <v>7</v>
      </c>
      <c r="C112" t="s">
        <v>5</v>
      </c>
      <c r="D112">
        <v>970</v>
      </c>
    </row>
    <row r="113" spans="1:4" x14ac:dyDescent="0.3">
      <c r="A113" s="1">
        <v>2021</v>
      </c>
      <c r="B113" t="s">
        <v>7</v>
      </c>
      <c r="C113" t="s">
        <v>25</v>
      </c>
      <c r="D113">
        <v>1370</v>
      </c>
    </row>
    <row r="114" spans="1:4" x14ac:dyDescent="0.3">
      <c r="A114" s="1">
        <v>2021</v>
      </c>
      <c r="B114" t="s">
        <v>8</v>
      </c>
      <c r="C114" t="s">
        <v>26</v>
      </c>
      <c r="D114">
        <v>1100</v>
      </c>
    </row>
    <row r="115" spans="1:4" x14ac:dyDescent="0.3">
      <c r="A115" s="1">
        <v>2021</v>
      </c>
      <c r="B115" t="s">
        <v>8</v>
      </c>
      <c r="C115" t="s">
        <v>6</v>
      </c>
      <c r="D115">
        <v>1360</v>
      </c>
    </row>
    <row r="116" spans="1:4" x14ac:dyDescent="0.3">
      <c r="A116" s="1">
        <v>2021</v>
      </c>
      <c r="B116" t="s">
        <v>9</v>
      </c>
      <c r="C116" t="s">
        <v>5</v>
      </c>
      <c r="D116">
        <v>1120</v>
      </c>
    </row>
    <row r="117" spans="1:4" x14ac:dyDescent="0.3">
      <c r="A117" s="1">
        <v>2021</v>
      </c>
      <c r="B117" t="s">
        <v>9</v>
      </c>
      <c r="C117" t="s">
        <v>6</v>
      </c>
      <c r="D117">
        <v>1380</v>
      </c>
    </row>
    <row r="118" spans="1:4" x14ac:dyDescent="0.3">
      <c r="A118" s="1">
        <v>2021</v>
      </c>
      <c r="B118" t="s">
        <v>10</v>
      </c>
      <c r="C118" t="s">
        <v>5</v>
      </c>
      <c r="D118">
        <v>1020</v>
      </c>
    </row>
    <row r="119" spans="1:4" x14ac:dyDescent="0.3">
      <c r="A119" s="1">
        <v>2021</v>
      </c>
      <c r="B119" t="s">
        <v>10</v>
      </c>
      <c r="C119" t="s">
        <v>6</v>
      </c>
      <c r="D119">
        <v>980</v>
      </c>
    </row>
    <row r="120" spans="1:4" x14ac:dyDescent="0.3">
      <c r="A120" s="1">
        <v>2021</v>
      </c>
      <c r="B120" t="s">
        <v>11</v>
      </c>
      <c r="C120" t="s">
        <v>26</v>
      </c>
      <c r="D120">
        <v>1130</v>
      </c>
    </row>
    <row r="121" spans="1:4" x14ac:dyDescent="0.3">
      <c r="A121" s="1">
        <v>2021</v>
      </c>
      <c r="B121" t="s">
        <v>11</v>
      </c>
      <c r="C121" t="s">
        <v>6</v>
      </c>
      <c r="D121">
        <v>2100</v>
      </c>
    </row>
    <row r="122" spans="1:4" x14ac:dyDescent="0.3">
      <c r="A122" s="1">
        <v>2021</v>
      </c>
      <c r="B122" t="s">
        <v>4</v>
      </c>
      <c r="C122" t="s">
        <v>5</v>
      </c>
      <c r="D122">
        <v>1080</v>
      </c>
    </row>
    <row r="123" spans="1:4" x14ac:dyDescent="0.3">
      <c r="A123" s="1">
        <v>2021</v>
      </c>
      <c r="B123" t="s">
        <v>4</v>
      </c>
      <c r="C123" t="s">
        <v>25</v>
      </c>
      <c r="D123">
        <v>1360</v>
      </c>
    </row>
    <row r="124" spans="1:4" x14ac:dyDescent="0.3">
      <c r="A124" s="1">
        <v>2021</v>
      </c>
      <c r="B124" t="s">
        <v>7</v>
      </c>
      <c r="C124" t="s">
        <v>5</v>
      </c>
      <c r="D124">
        <v>920</v>
      </c>
    </row>
    <row r="125" spans="1:4" x14ac:dyDescent="0.3">
      <c r="A125" s="1">
        <v>2021</v>
      </c>
      <c r="B125" t="s">
        <v>7</v>
      </c>
      <c r="C125" t="s">
        <v>6</v>
      </c>
      <c r="D125">
        <v>1020</v>
      </c>
    </row>
    <row r="126" spans="1:4" x14ac:dyDescent="0.3">
      <c r="A126" s="1">
        <v>2021</v>
      </c>
      <c r="B126" t="s">
        <v>8</v>
      </c>
      <c r="C126" t="s">
        <v>5</v>
      </c>
      <c r="D126">
        <v>1200</v>
      </c>
    </row>
    <row r="127" spans="1:4" x14ac:dyDescent="0.3">
      <c r="A127" s="1">
        <v>2021</v>
      </c>
      <c r="B127" t="s">
        <v>8</v>
      </c>
      <c r="C127" t="s">
        <v>25</v>
      </c>
      <c r="D127">
        <v>1750</v>
      </c>
    </row>
    <row r="128" spans="1:4" x14ac:dyDescent="0.3">
      <c r="A128" s="1">
        <v>2021</v>
      </c>
      <c r="B128" t="s">
        <v>9</v>
      </c>
      <c r="C128" t="s">
        <v>5</v>
      </c>
      <c r="D128">
        <v>1060</v>
      </c>
    </row>
    <row r="129" spans="1:4" x14ac:dyDescent="0.3">
      <c r="A129" s="1">
        <v>2021</v>
      </c>
      <c r="B129" t="s">
        <v>9</v>
      </c>
      <c r="C129" t="s">
        <v>6</v>
      </c>
      <c r="D129">
        <v>1070</v>
      </c>
    </row>
    <row r="130" spans="1:4" x14ac:dyDescent="0.3">
      <c r="A130" s="1">
        <v>2021</v>
      </c>
      <c r="B130" t="s">
        <v>10</v>
      </c>
      <c r="C130" t="s">
        <v>5</v>
      </c>
      <c r="D130">
        <v>1080</v>
      </c>
    </row>
    <row r="131" spans="1:4" x14ac:dyDescent="0.3">
      <c r="A131" s="1">
        <v>2021</v>
      </c>
      <c r="B131" t="s">
        <v>10</v>
      </c>
      <c r="C131" t="s">
        <v>6</v>
      </c>
      <c r="D131">
        <v>1760</v>
      </c>
    </row>
    <row r="132" spans="1:4" x14ac:dyDescent="0.3">
      <c r="A132" s="1">
        <v>2021</v>
      </c>
      <c r="B132" t="s">
        <v>11</v>
      </c>
      <c r="C132" t="s">
        <v>5</v>
      </c>
      <c r="D132">
        <v>1090</v>
      </c>
    </row>
    <row r="133" spans="1:4" x14ac:dyDescent="0.3">
      <c r="A133" s="1">
        <v>2021</v>
      </c>
      <c r="B133" t="s">
        <v>11</v>
      </c>
      <c r="C133" t="s">
        <v>6</v>
      </c>
      <c r="D133">
        <v>1700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O24"/>
  <sheetViews>
    <sheetView showGridLines="0" workbookViewId="0">
      <selection activeCell="K22" sqref="K22"/>
    </sheetView>
  </sheetViews>
  <sheetFormatPr defaultRowHeight="14.4" x14ac:dyDescent="0.3"/>
  <cols>
    <col min="2" max="2" width="18" bestFit="1" customWidth="1"/>
    <col min="3" max="4" width="10.88671875" bestFit="1" customWidth="1"/>
    <col min="5" max="6" width="10.88671875" customWidth="1"/>
    <col min="7" max="7" width="10.88671875" bestFit="1" customWidth="1"/>
    <col min="9" max="9" width="11" bestFit="1" customWidth="1"/>
    <col min="14" max="14" width="10.88671875" bestFit="1" customWidth="1"/>
    <col min="15" max="15" width="11.33203125" bestFit="1" customWidth="1"/>
  </cols>
  <sheetData>
    <row r="2" spans="2:15" x14ac:dyDescent="0.3">
      <c r="B2" s="6" t="s">
        <v>15</v>
      </c>
      <c r="C2" s="6">
        <f>valyear</f>
        <v>2015</v>
      </c>
      <c r="D2" s="6">
        <v>2015</v>
      </c>
      <c r="E2" s="2"/>
      <c r="F2" s="2"/>
    </row>
    <row r="3" spans="2:15" x14ac:dyDescent="0.3">
      <c r="B3" s="6" t="s">
        <v>16</v>
      </c>
      <c r="C3" s="6" t="str">
        <f>valpro</f>
        <v>Chocolates</v>
      </c>
      <c r="D3" s="6" t="s">
        <v>7</v>
      </c>
      <c r="E3" s="15" t="b">
        <v>1</v>
      </c>
      <c r="F3" s="2"/>
    </row>
    <row r="4" spans="2:15" x14ac:dyDescent="0.3">
      <c r="B4" s="6" t="s">
        <v>17</v>
      </c>
      <c r="C4" s="6" t="str">
        <f>valregion</f>
        <v>North</v>
      </c>
      <c r="D4" s="6" t="s">
        <v>5</v>
      </c>
      <c r="E4" s="2"/>
      <c r="F4" s="2"/>
    </row>
    <row r="7" spans="2:15" x14ac:dyDescent="0.3">
      <c r="B7" s="5" t="s">
        <v>18</v>
      </c>
      <c r="C7" s="5" t="s">
        <v>3</v>
      </c>
    </row>
    <row r="8" spans="2:15" x14ac:dyDescent="0.3">
      <c r="B8" s="6" t="s">
        <v>13</v>
      </c>
      <c r="C8" s="6" t="str">
        <f>C17</f>
        <v>North</v>
      </c>
      <c r="D8" s="6" t="str">
        <f>D17</f>
        <v>South</v>
      </c>
      <c r="E8" s="6" t="s">
        <v>25</v>
      </c>
      <c r="F8" s="6" t="s">
        <v>26</v>
      </c>
      <c r="G8" s="6" t="s">
        <v>24</v>
      </c>
      <c r="I8" s="3" t="str">
        <f>B8</f>
        <v>Products</v>
      </c>
      <c r="J8" s="3" t="str">
        <f>C8</f>
        <v>North</v>
      </c>
      <c r="K8" s="3" t="str">
        <f>D8</f>
        <v>South</v>
      </c>
      <c r="L8" s="3" t="s">
        <v>25</v>
      </c>
      <c r="M8" s="3" t="s">
        <v>26</v>
      </c>
      <c r="N8" s="3" t="str">
        <f t="shared" ref="N8" si="0">G8</f>
        <v>All Region</v>
      </c>
      <c r="O8" s="3" t="s">
        <v>21</v>
      </c>
    </row>
    <row r="9" spans="2:15" x14ac:dyDescent="0.3">
      <c r="B9" s="6" t="str">
        <f>Data!H3</f>
        <v>Biscuits</v>
      </c>
      <c r="C9" s="13">
        <f>SUMIFS(tblSales[Sales ($)],tblSales[Year],$C$2,tblSales[Product],$B9,tblSales[Region],C$8)</f>
        <v>1140</v>
      </c>
      <c r="D9" s="13">
        <f>SUMIFS(tblSales[Sales ($)],tblSales[Year],$C$2,tblSales[Product],$B9,tblSales[Region],D$8)</f>
        <v>1800</v>
      </c>
      <c r="E9" s="7">
        <f>SUMIFS(tblSales[Sales ($)],tblSales[Year],$C$2,tblSales[Product],$B9,tblSales[Region],E$8)</f>
        <v>0</v>
      </c>
      <c r="F9" s="7">
        <f>SUMIFS(tblSales[Sales ($)],tblSales[Year],$C$2,tblSales[Product],$B9,tblSales[Region],F$8)</f>
        <v>0</v>
      </c>
      <c r="G9" s="7">
        <f>SUM(C9:F9)</f>
        <v>2940</v>
      </c>
      <c r="I9" s="3" t="str">
        <f t="shared" ref="I9:I14" si="1">B9</f>
        <v>Biscuits</v>
      </c>
      <c r="J9" s="22">
        <f>IF($C$4=J$8,C9,NA())</f>
        <v>1140</v>
      </c>
      <c r="K9" s="4" t="e">
        <f>IF($C$4=K$8,D9,NA())</f>
        <v>#N/A</v>
      </c>
      <c r="L9" s="4" t="e">
        <f>IF($C$4=L$8,E9,NA())</f>
        <v>#N/A</v>
      </c>
      <c r="M9" s="4" t="e">
        <f>IF($C$4=M$8,F9,NA())</f>
        <v>#N/A</v>
      </c>
      <c r="N9" s="4" t="e">
        <f>IF($C$4=N$8,G9,NA())</f>
        <v>#N/A</v>
      </c>
      <c r="O9" s="14" t="e">
        <f>IF(I9=valpro,INDEX($J9:$N9,MATCH(valregion,$J$8:$N$8,0)),NA())</f>
        <v>#N/A</v>
      </c>
    </row>
    <row r="10" spans="2:15" x14ac:dyDescent="0.3">
      <c r="B10" s="6" t="str">
        <f>Data!H4</f>
        <v>Chocolates</v>
      </c>
      <c r="C10" s="7">
        <f>SUMIFS(tblSales[Sales ($)],tblSales[Year],$C$2,tblSales[Product],$B10,tblSales[Region],C$8)</f>
        <v>950</v>
      </c>
      <c r="D10" s="7">
        <f>SUMIFS(tblSales[Sales ($)],tblSales[Year],$C$2,tblSales[Product],$B10,tblSales[Region],D$8)</f>
        <v>1570</v>
      </c>
      <c r="E10" s="7">
        <f>SUMIFS(tblSales[Sales ($)],tblSales[Year],$C$2,tblSales[Product],$B10,tblSales[Region],E$8)</f>
        <v>0</v>
      </c>
      <c r="F10" s="7">
        <f>SUMIFS(tblSales[Sales ($)],tblSales[Year],$C$2,tblSales[Product],$B10,tblSales[Region],F$8)</f>
        <v>0</v>
      </c>
      <c r="G10" s="7">
        <f t="shared" ref="G10:G14" si="2">SUM(C10:F10)</f>
        <v>2520</v>
      </c>
      <c r="I10" s="3" t="str">
        <f t="shared" si="1"/>
        <v>Chocolates</v>
      </c>
      <c r="J10" s="4">
        <f t="shared" ref="J10:J14" si="3">IF($C$4=J$8,C10,NA())</f>
        <v>950</v>
      </c>
      <c r="K10" s="4" t="e">
        <f t="shared" ref="K10:K14" si="4">IF($C$4=K$8,D10,NA())</f>
        <v>#N/A</v>
      </c>
      <c r="L10" s="4" t="e">
        <f t="shared" ref="L10:L14" si="5">IF($C$4=L$8,E10,NA())</f>
        <v>#N/A</v>
      </c>
      <c r="M10" s="4" t="e">
        <f t="shared" ref="M10:M14" si="6">IF($C$4=M$8,F10,NA())</f>
        <v>#N/A</v>
      </c>
      <c r="N10" s="4" t="e">
        <f t="shared" ref="N10:N14" si="7">IF($C$4=N$8,G10,NA())</f>
        <v>#N/A</v>
      </c>
      <c r="O10" s="3">
        <f t="shared" ref="O10:O14" si="8">IF(I10=valpro,INDEX($J10:$N10,MATCH(valregion,$J$8:$N$8,0)),NA())</f>
        <v>950</v>
      </c>
    </row>
    <row r="11" spans="2:15" x14ac:dyDescent="0.3">
      <c r="B11" s="6" t="str">
        <f>Data!H5</f>
        <v>Chocochips</v>
      </c>
      <c r="C11" s="7">
        <f>SUMIFS(tblSales[Sales ($)],tblSales[Year],$C$2,tblSales[Product],$B11,tblSales[Region],C$8)</f>
        <v>1120</v>
      </c>
      <c r="D11" s="7">
        <f>SUMIFS(tblSales[Sales ($)],tblSales[Year],$C$2,tblSales[Product],$B11,tblSales[Region],D$8)</f>
        <v>1510</v>
      </c>
      <c r="E11" s="7">
        <f>SUMIFS(tblSales[Sales ($)],tblSales[Year],$C$2,tblSales[Product],$B11,tblSales[Region],E$8)</f>
        <v>0</v>
      </c>
      <c r="F11" s="7">
        <f>SUMIFS(tblSales[Sales ($)],tblSales[Year],$C$2,tblSales[Product],$B11,tblSales[Region],F$8)</f>
        <v>0</v>
      </c>
      <c r="G11" s="7">
        <f t="shared" si="2"/>
        <v>2630</v>
      </c>
      <c r="I11" s="3" t="str">
        <f t="shared" si="1"/>
        <v>Chocochips</v>
      </c>
      <c r="J11" s="4">
        <f t="shared" si="3"/>
        <v>1120</v>
      </c>
      <c r="K11" s="4" t="e">
        <f t="shared" si="4"/>
        <v>#N/A</v>
      </c>
      <c r="L11" s="4" t="e">
        <f t="shared" si="5"/>
        <v>#N/A</v>
      </c>
      <c r="M11" s="4" t="e">
        <f t="shared" si="6"/>
        <v>#N/A</v>
      </c>
      <c r="N11" s="4" t="e">
        <f t="shared" si="7"/>
        <v>#N/A</v>
      </c>
      <c r="O11" s="3" t="e">
        <f t="shared" si="8"/>
        <v>#N/A</v>
      </c>
    </row>
    <row r="12" spans="2:15" x14ac:dyDescent="0.3">
      <c r="B12" s="6" t="str">
        <f>Data!H6</f>
        <v>Cookies</v>
      </c>
      <c r="C12" s="7">
        <f>SUMIFS(tblSales[Sales ($)],tblSales[Year],$C$2,tblSales[Product],$B12,tblSales[Region],C$8)</f>
        <v>1040</v>
      </c>
      <c r="D12" s="7">
        <f>SUMIFS(tblSales[Sales ($)],tblSales[Year],$C$2,tblSales[Product],$B12,tblSales[Region],D$8)</f>
        <v>1350</v>
      </c>
      <c r="E12" s="7">
        <f>SUMIFS(tblSales[Sales ($)],tblSales[Year],$C$2,tblSales[Product],$B12,tblSales[Region],E$8)</f>
        <v>0</v>
      </c>
      <c r="F12" s="7">
        <f>SUMIFS(tblSales[Sales ($)],tblSales[Year],$C$2,tblSales[Product],$B12,tblSales[Region],F$8)</f>
        <v>0</v>
      </c>
      <c r="G12" s="7">
        <f t="shared" si="2"/>
        <v>2390</v>
      </c>
      <c r="I12" s="3" t="str">
        <f t="shared" si="1"/>
        <v>Cookies</v>
      </c>
      <c r="J12" s="4">
        <f t="shared" si="3"/>
        <v>1040</v>
      </c>
      <c r="K12" s="4" t="e">
        <f t="shared" si="4"/>
        <v>#N/A</v>
      </c>
      <c r="L12" s="4" t="e">
        <f t="shared" si="5"/>
        <v>#N/A</v>
      </c>
      <c r="M12" s="4" t="e">
        <f t="shared" si="6"/>
        <v>#N/A</v>
      </c>
      <c r="N12" s="4" t="e">
        <f t="shared" si="7"/>
        <v>#N/A</v>
      </c>
      <c r="O12" s="3" t="e">
        <f t="shared" si="8"/>
        <v>#N/A</v>
      </c>
    </row>
    <row r="13" spans="2:15" x14ac:dyDescent="0.3">
      <c r="B13" s="6" t="str">
        <f>Data!H7</f>
        <v>Nutri Bars</v>
      </c>
      <c r="C13" s="7">
        <f>SUMIFS(tblSales[Sales ($)],tblSales[Year],$C$2,tblSales[Product],$B13,tblSales[Region],C$8)</f>
        <v>930</v>
      </c>
      <c r="D13" s="7">
        <f>SUMIFS(tblSales[Sales ($)],tblSales[Year],$C$2,tblSales[Product],$B13,tblSales[Region],D$8)</f>
        <v>0</v>
      </c>
      <c r="E13" s="7">
        <f>SUMIFS(tblSales[Sales ($)],tblSales[Year],$C$2,tblSales[Product],$B13,tblSales[Region],E$8)</f>
        <v>1210</v>
      </c>
      <c r="F13" s="7">
        <f>SUMIFS(tblSales[Sales ($)],tblSales[Year],$C$2,tblSales[Product],$B13,tblSales[Region],F$8)</f>
        <v>0</v>
      </c>
      <c r="G13" s="7">
        <f t="shared" si="2"/>
        <v>2140</v>
      </c>
      <c r="I13" s="3" t="str">
        <f t="shared" si="1"/>
        <v>Nutri Bars</v>
      </c>
      <c r="J13" s="4">
        <f t="shared" si="3"/>
        <v>930</v>
      </c>
      <c r="K13" s="4" t="e">
        <f t="shared" si="4"/>
        <v>#N/A</v>
      </c>
      <c r="L13" s="4" t="e">
        <f t="shared" si="5"/>
        <v>#N/A</v>
      </c>
      <c r="M13" s="4" t="e">
        <f t="shared" si="6"/>
        <v>#N/A</v>
      </c>
      <c r="N13" s="4" t="e">
        <f t="shared" si="7"/>
        <v>#N/A</v>
      </c>
      <c r="O13" s="3" t="e">
        <f t="shared" si="8"/>
        <v>#N/A</v>
      </c>
    </row>
    <row r="14" spans="2:15" x14ac:dyDescent="0.3">
      <c r="B14" s="6" t="str">
        <f>Data!H8</f>
        <v>Jelly Beans</v>
      </c>
      <c r="C14" s="7">
        <f>SUMIFS(tblSales[Sales ($)],tblSales[Year],$C$2,tblSales[Product],$B14,tblSales[Region],C$8)</f>
        <v>920</v>
      </c>
      <c r="D14" s="7">
        <f>SUMIFS(tblSales[Sales ($)],tblSales[Year],$C$2,tblSales[Product],$B14,tblSales[Region],D$8)</f>
        <v>1320</v>
      </c>
      <c r="E14" s="7">
        <f>SUMIFS(tblSales[Sales ($)],tblSales[Year],$C$2,tblSales[Product],$B14,tblSales[Region],E$8)</f>
        <v>0</v>
      </c>
      <c r="F14" s="7">
        <f>SUMIFS(tblSales[Sales ($)],tblSales[Year],$C$2,tblSales[Product],$B14,tblSales[Region],F$8)</f>
        <v>0</v>
      </c>
      <c r="G14" s="7">
        <f t="shared" si="2"/>
        <v>2240</v>
      </c>
      <c r="I14" s="3" t="str">
        <f t="shared" si="1"/>
        <v>Jelly Beans</v>
      </c>
      <c r="J14" s="4">
        <f t="shared" si="3"/>
        <v>920</v>
      </c>
      <c r="K14" s="4" t="e">
        <f t="shared" si="4"/>
        <v>#N/A</v>
      </c>
      <c r="L14" s="4" t="e">
        <f t="shared" si="5"/>
        <v>#N/A</v>
      </c>
      <c r="M14" s="4" t="e">
        <f t="shared" si="6"/>
        <v>#N/A</v>
      </c>
      <c r="N14" s="4" t="e">
        <f t="shared" si="7"/>
        <v>#N/A</v>
      </c>
      <c r="O14" s="3" t="e">
        <f t="shared" si="8"/>
        <v>#N/A</v>
      </c>
    </row>
    <row r="16" spans="2:15" x14ac:dyDescent="0.3">
      <c r="B16" s="15" t="s">
        <v>20</v>
      </c>
      <c r="C16" s="15"/>
      <c r="I16" s="16" t="s">
        <v>22</v>
      </c>
    </row>
    <row r="17" spans="2:11" x14ac:dyDescent="0.3">
      <c r="B17" s="3" t="s">
        <v>0</v>
      </c>
      <c r="C17" s="3" t="s">
        <v>5</v>
      </c>
      <c r="D17" s="3" t="s">
        <v>6</v>
      </c>
      <c r="E17" s="3" t="s">
        <v>25</v>
      </c>
      <c r="F17" s="3" t="s">
        <v>26</v>
      </c>
      <c r="G17" s="3" t="s">
        <v>19</v>
      </c>
      <c r="I17" s="17" t="str">
        <f>"Sales in "&amp;valregion&amp;" "&amp;"By Prodcut -"&amp;valyear</f>
        <v>Sales in North By Prodcut -2015</v>
      </c>
      <c r="J17" s="15"/>
      <c r="K17" s="15"/>
    </row>
    <row r="18" spans="2:11" x14ac:dyDescent="0.3">
      <c r="B18" s="3">
        <f>Data!G3</f>
        <v>2015</v>
      </c>
      <c r="C18" s="19">
        <f>SUMIFS(tblSales[Sales ($)],tblSales[Year],Calculation!B18,tblSales[Product],Calculation!$C$3,tblSales[Region],Calculation!C$17)</f>
        <v>950</v>
      </c>
      <c r="D18" s="19">
        <f>SUMIFS(tblSales[Sales ($)],tblSales[Year],Calculation!B18,tblSales[Product],Calculation!$C$3,tblSales[Region],Calculation!D$17)</f>
        <v>1570</v>
      </c>
      <c r="E18" s="19">
        <f>SUMIFS(tblSales[Sales ($)],tblSales[Year],Calculation!B18,tblSales[Product],Calculation!$C$3,tblSales[Region],Calculation!E$17)</f>
        <v>0</v>
      </c>
      <c r="F18" s="19">
        <f>SUMIFS(tblSales[Sales ($)],tblSales[Year],Calculation!B18,tblSales[Product],Calculation!$C$3,tblSales[Region],Calculation!F$17)</f>
        <v>0</v>
      </c>
      <c r="G18" s="19">
        <f>SUM(C18:F18)</f>
        <v>2520</v>
      </c>
    </row>
    <row r="19" spans="2:11" x14ac:dyDescent="0.3">
      <c r="B19" s="3">
        <f>Data!G4</f>
        <v>2016</v>
      </c>
      <c r="C19" s="19">
        <f>SUMIFS(tblSales[Sales ($)],tblSales[Year],Calculation!B19,tblSales[Product],Calculation!$C$3,tblSales[Region],Calculation!C$17)</f>
        <v>0</v>
      </c>
      <c r="D19" s="19">
        <f>SUMIFS(tblSales[Sales ($)],tblSales[Year],Calculation!B19,tblSales[Product],Calculation!$C$3,tblSales[Region],Calculation!D$17)</f>
        <v>1370</v>
      </c>
      <c r="E19" s="19">
        <f>SUMIFS(tblSales[Sales ($)],tblSales[Year],Calculation!B19,tblSales[Product],Calculation!$C$3,tblSales[Region],Calculation!E$17)</f>
        <v>0</v>
      </c>
      <c r="F19" s="19">
        <f>SUMIFS(tblSales[Sales ($)],tblSales[Year],Calculation!B19,tblSales[Product],Calculation!$C$3,tblSales[Region],Calculation!F$17)</f>
        <v>1110</v>
      </c>
      <c r="G19" s="19">
        <f t="shared" ref="G19:G24" si="9">SUM(C19:F19)</f>
        <v>2480</v>
      </c>
      <c r="I19" s="15" t="b">
        <v>0</v>
      </c>
    </row>
    <row r="20" spans="2:11" x14ac:dyDescent="0.3">
      <c r="B20" s="3">
        <f>Data!G5</f>
        <v>2017</v>
      </c>
      <c r="C20" s="19">
        <f>SUMIFS(tblSales[Sales ($)],tblSales[Year],Calculation!B20,tblSales[Product],Calculation!$C$3,tblSales[Region],Calculation!C$17)</f>
        <v>1080</v>
      </c>
      <c r="D20" s="19">
        <f>SUMIFS(tblSales[Sales ($)],tblSales[Year],Calculation!B20,tblSales[Product],Calculation!$C$3,tblSales[Region],Calculation!D$17)</f>
        <v>3060</v>
      </c>
      <c r="E20" s="19">
        <f>SUMIFS(tblSales[Sales ($)],tblSales[Year],Calculation!B20,tblSales[Product],Calculation!$C$3,tblSales[Region],Calculation!E$17)</f>
        <v>0</v>
      </c>
      <c r="F20" s="19">
        <f>SUMIFS(tblSales[Sales ($)],tblSales[Year],Calculation!B20,tblSales[Product],Calculation!$C$3,tblSales[Region],Calculation!F$17)</f>
        <v>990</v>
      </c>
      <c r="G20" s="19">
        <f t="shared" si="9"/>
        <v>5130</v>
      </c>
      <c r="I20" s="18" t="str">
        <f>IF(vblhelpstatus,"Hide help","Show help")</f>
        <v>Show help</v>
      </c>
    </row>
    <row r="21" spans="2:11" x14ac:dyDescent="0.3">
      <c r="B21" s="3">
        <f>Data!G6</f>
        <v>2018</v>
      </c>
      <c r="C21" s="19">
        <f>SUMIFS(tblSales[Sales ($)],tblSales[Year],Calculation!B21,tblSales[Product],Calculation!$C$3,tblSales[Region],Calculation!C$17)</f>
        <v>1140</v>
      </c>
      <c r="D21" s="19">
        <f>SUMIFS(tblSales[Sales ($)],tblSales[Year],Calculation!B21,tblSales[Product],Calculation!$C$3,tblSales[Region],Calculation!D$17)</f>
        <v>1090</v>
      </c>
      <c r="E21" s="19">
        <f>SUMIFS(tblSales[Sales ($)],tblSales[Year],Calculation!B21,tblSales[Product],Calculation!$C$3,tblSales[Region],Calculation!E$17)</f>
        <v>0</v>
      </c>
      <c r="F21" s="19">
        <f>SUMIFS(tblSales[Sales ($)],tblSales[Year],Calculation!B21,tblSales[Product],Calculation!$C$3,tblSales[Region],Calculation!F$17)</f>
        <v>0</v>
      </c>
      <c r="G21" s="19">
        <f t="shared" si="9"/>
        <v>2230</v>
      </c>
    </row>
    <row r="22" spans="2:11" x14ac:dyDescent="0.3">
      <c r="B22" s="3">
        <f>Data!G7</f>
        <v>2019</v>
      </c>
      <c r="C22" s="19">
        <f>SUMIFS(tblSales[Sales ($)],tblSales[Year],Calculation!B22,tblSales[Product],Calculation!$C$3,tblSales[Region],Calculation!C$17)</f>
        <v>980</v>
      </c>
      <c r="D22" s="19">
        <f>SUMIFS(tblSales[Sales ($)],tblSales[Year],Calculation!B22,tblSales[Product],Calculation!$C$3,tblSales[Region],Calculation!D$17)</f>
        <v>1400</v>
      </c>
      <c r="E22" s="19">
        <f>SUMIFS(tblSales[Sales ($)],tblSales[Year],Calculation!B22,tblSales[Product],Calculation!$C$3,tblSales[Region],Calculation!E$17)</f>
        <v>0</v>
      </c>
      <c r="F22" s="19">
        <f>SUMIFS(tblSales[Sales ($)],tblSales[Year],Calculation!B22,tblSales[Product],Calculation!$C$3,tblSales[Region],Calculation!F$17)</f>
        <v>2490</v>
      </c>
      <c r="G22" s="19">
        <f t="shared" si="9"/>
        <v>4870</v>
      </c>
    </row>
    <row r="23" spans="2:11" x14ac:dyDescent="0.3">
      <c r="B23" s="3">
        <f>Data!G8</f>
        <v>2020</v>
      </c>
      <c r="C23" s="19">
        <f>SUMIFS(tblSales[Sales ($)],tblSales[Year],Calculation!B23,tblSales[Product],Calculation!$C$3,tblSales[Region],Calculation!C$17)</f>
        <v>890</v>
      </c>
      <c r="D23" s="19">
        <f>SUMIFS(tblSales[Sales ($)],tblSales[Year],Calculation!B23,tblSales[Product],Calculation!$C$3,tblSales[Region],Calculation!D$17)</f>
        <v>1430</v>
      </c>
      <c r="E23" s="19">
        <f>SUMIFS(tblSales[Sales ($)],tblSales[Year],Calculation!B23,tblSales[Product],Calculation!$C$3,tblSales[Region],Calculation!E$17)</f>
        <v>0</v>
      </c>
      <c r="F23" s="19">
        <f>SUMIFS(tblSales[Sales ($)],tblSales[Year],Calculation!B23,tblSales[Product],Calculation!$C$3,tblSales[Region],Calculation!F$17)</f>
        <v>0</v>
      </c>
      <c r="G23" s="19">
        <f t="shared" si="9"/>
        <v>2320</v>
      </c>
    </row>
    <row r="24" spans="2:11" x14ac:dyDescent="0.3">
      <c r="B24" s="3">
        <f>Data!G9</f>
        <v>2021</v>
      </c>
      <c r="C24" s="19">
        <f>SUMIFS(tblSales[Sales ($)],tblSales[Year],Calculation!B24,tblSales[Product],Calculation!$C$3,tblSales[Region],Calculation!C$17)</f>
        <v>1890</v>
      </c>
      <c r="D24" s="19">
        <f>SUMIFS(tblSales[Sales ($)],tblSales[Year],Calculation!B24,tblSales[Product],Calculation!$C$3,tblSales[Region],Calculation!D$17)</f>
        <v>2490</v>
      </c>
      <c r="E24" s="19">
        <f>SUMIFS(tblSales[Sales ($)],tblSales[Year],Calculation!B24,tblSales[Product],Calculation!$C$3,tblSales[Region],Calculation!E$17)</f>
        <v>2520</v>
      </c>
      <c r="F24" s="19">
        <f>SUMIFS(tblSales[Sales ($)],tblSales[Year],Calculation!B24,tblSales[Product],Calculation!$C$3,tblSales[Region],Calculation!F$17)</f>
        <v>0</v>
      </c>
      <c r="G24" s="19">
        <f t="shared" si="9"/>
        <v>6900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20"/>
  <sheetViews>
    <sheetView showGridLines="0" tabSelected="1" workbookViewId="0">
      <selection activeCell="H17" sqref="H17"/>
    </sheetView>
  </sheetViews>
  <sheetFormatPr defaultRowHeight="14.4" x14ac:dyDescent="0.3"/>
  <cols>
    <col min="1" max="1" width="2.88671875" customWidth="1"/>
    <col min="2" max="2" width="13.109375" customWidth="1"/>
    <col min="4" max="5" width="2.33203125" customWidth="1"/>
    <col min="7" max="7" width="7.6640625" bestFit="1" customWidth="1"/>
    <col min="8" max="8" width="10.6640625" bestFit="1" customWidth="1"/>
    <col min="9" max="9" width="11" bestFit="1" customWidth="1"/>
    <col min="10" max="10" width="8.6640625" customWidth="1"/>
    <col min="11" max="11" width="9.6640625" bestFit="1" customWidth="1"/>
    <col min="12" max="12" width="10.6640625" bestFit="1" customWidth="1"/>
    <col min="13" max="13" width="6.6640625" customWidth="1"/>
  </cols>
  <sheetData>
    <row r="1" spans="1:13" ht="33.6" x14ac:dyDescent="0.3">
      <c r="A1" s="8"/>
      <c r="B1" s="23" t="str">
        <f>"SALES DASHBOARD "&amp;B6&amp;"-"&amp;B12</f>
        <v>SALES DASHBOARD 2015-2021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8"/>
    </row>
    <row r="5" spans="1:13" x14ac:dyDescent="0.3">
      <c r="B5" s="9" t="s">
        <v>23</v>
      </c>
    </row>
    <row r="6" spans="1:13" x14ac:dyDescent="0.3">
      <c r="B6" s="12">
        <f>Calculation!B18</f>
        <v>2015</v>
      </c>
      <c r="C6" s="10"/>
    </row>
    <row r="7" spans="1:13" x14ac:dyDescent="0.3">
      <c r="B7" s="12">
        <f>Calculation!B19</f>
        <v>2016</v>
      </c>
      <c r="C7" s="10"/>
    </row>
    <row r="8" spans="1:13" x14ac:dyDescent="0.3">
      <c r="B8" s="12">
        <f>Calculation!B20</f>
        <v>2017</v>
      </c>
      <c r="C8" s="10"/>
    </row>
    <row r="9" spans="1:13" x14ac:dyDescent="0.3">
      <c r="B9" s="12">
        <f>Calculation!B21</f>
        <v>2018</v>
      </c>
      <c r="C9" s="10"/>
    </row>
    <row r="10" spans="1:13" x14ac:dyDescent="0.3">
      <c r="B10" s="12">
        <f>Calculation!B22</f>
        <v>2019</v>
      </c>
      <c r="C10" s="10"/>
    </row>
    <row r="11" spans="1:13" x14ac:dyDescent="0.3">
      <c r="B11" s="12">
        <f>Calculation!B23</f>
        <v>2020</v>
      </c>
      <c r="C11" s="10"/>
    </row>
    <row r="12" spans="1:13" x14ac:dyDescent="0.3">
      <c r="B12" s="12">
        <f>Calculation!B24</f>
        <v>2021</v>
      </c>
      <c r="C12" s="10"/>
    </row>
    <row r="15" spans="1:13" x14ac:dyDescent="0.3">
      <c r="B15" t="s">
        <v>2</v>
      </c>
    </row>
    <row r="16" spans="1:13" x14ac:dyDescent="0.3">
      <c r="B16" s="11" t="s">
        <v>24</v>
      </c>
    </row>
    <row r="17" spans="2:12" x14ac:dyDescent="0.3">
      <c r="B17" s="11" t="str">
        <f>Data!I3</f>
        <v>North</v>
      </c>
      <c r="G17" s="11" t="str">
        <f>INDEX(ISTPro,COLUMNS($F$16:F16))</f>
        <v>Biscuits</v>
      </c>
      <c r="H17" s="11" t="str">
        <f>INDEX(ISTPro,COLUMNS($F$16:G16))</f>
        <v>Chocolates</v>
      </c>
      <c r="I17" s="11" t="str">
        <f>INDEX(ISTPro,COLUMNS($F$16:H16))</f>
        <v>Chocochips</v>
      </c>
      <c r="J17" s="11" t="str">
        <f>INDEX(ISTPro,COLUMNS($F$16:I16))</f>
        <v>Cookies</v>
      </c>
      <c r="K17" s="11" t="str">
        <f>INDEX(ISTPro,COLUMNS($F$16:J16))</f>
        <v>Nutri Bars</v>
      </c>
      <c r="L17" s="11" t="str">
        <f>INDEX(ISTPro,COLUMNS($F$16:K16))</f>
        <v>Jelly Beans</v>
      </c>
    </row>
    <row r="18" spans="2:12" x14ac:dyDescent="0.3">
      <c r="B18" s="11" t="str">
        <f>Data!I4</f>
        <v>South</v>
      </c>
    </row>
    <row r="19" spans="2:12" x14ac:dyDescent="0.3">
      <c r="B19" s="11" t="str">
        <f>Data!I5</f>
        <v>East</v>
      </c>
    </row>
    <row r="20" spans="2:12" x14ac:dyDescent="0.3">
      <c r="B20" s="11" t="str">
        <f>Data!I6</f>
        <v>West</v>
      </c>
    </row>
  </sheetData>
  <mergeCells count="1">
    <mergeCell ref="B1:L1"/>
  </mergeCells>
  <conditionalFormatting sqref="B6:B12">
    <cfRule type="expression" dxfId="2" priority="3">
      <formula>B6=valyear</formula>
    </cfRule>
  </conditionalFormatting>
  <conditionalFormatting sqref="G17:L17">
    <cfRule type="expression" dxfId="1" priority="2">
      <formula>G17=valpro</formula>
    </cfRule>
  </conditionalFormatting>
  <conditionalFormatting sqref="B16:B20">
    <cfRule type="expression" dxfId="0" priority="1">
      <formula>B16=valregion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Data</vt:lpstr>
      <vt:lpstr>Calculation</vt:lpstr>
      <vt:lpstr>DASHBOARD</vt:lpstr>
      <vt:lpstr>ISTPro</vt:lpstr>
      <vt:lpstr>ISTyear</vt:lpstr>
      <vt:lpstr>lstRegions</vt:lpstr>
      <vt:lpstr>plpro</vt:lpstr>
      <vt:lpstr>plregion</vt:lpstr>
      <vt:lpstr>plyear</vt:lpstr>
      <vt:lpstr>valpro</vt:lpstr>
      <vt:lpstr>valprostatus</vt:lpstr>
      <vt:lpstr>valregion</vt:lpstr>
      <vt:lpstr>valyear</vt:lpstr>
      <vt:lpstr>vblhelpstatus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Yogesh</dc:creator>
  <cp:lastModifiedBy>Administrator</cp:lastModifiedBy>
  <dcterms:created xsi:type="dcterms:W3CDTF">2021-09-16T05:35:56Z</dcterms:created>
  <dcterms:modified xsi:type="dcterms:W3CDTF">2025-06-13T07:01:19Z</dcterms:modified>
</cp:coreProperties>
</file>